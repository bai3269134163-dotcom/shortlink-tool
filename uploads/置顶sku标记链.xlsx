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0240"/>
  </bookViews>
  <sheets>
    <sheet name="Sheet1" sheetId="2" r:id="rId1"/>
    <sheet name="Sheet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<sst xmlns="http://schemas.openxmlformats.org/spreadsheetml/2006/main" count="36" uniqueCount="31">
  <si>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达人handle</t>
  </si>
  <si>
    <t>campaign</t>
  </si>
  <si>
    <t>发货信息</t>
  </si>
  <si>
    <t>选品</t>
  </si>
  <si>
    <t>销售sku</t>
  </si>
  <si>
    <t>官网页面</t>
  </si>
  <si>
    <t>标记链接</t>
  </si>
  <si>
    <t>将E列转化为逗号隔开（把单元格 E2 里所有换行符，全部替换成英文逗号，换行消失，文本连成一长串。）</t>
  </si>
  <si>
    <t>长标记链</t>
  </si>
  <si>
    <t>活动+达人handle</t>
  </si>
  <si>
    <t>utm_campaign</t>
  </si>
  <si>
    <t>utm_medium</t>
  </si>
  <si>
    <t>danielamfashion</t>
  </si>
  <si>
    <t>Q2种草</t>
  </si>
  <si>
    <t>Daniela Martinez
2849 W Harold Ave
Visalia, CA 93291
559 9733141</t>
  </si>
  <si>
    <t>JGA898857-02
OT776862-02
JGP000269-28
JGX957054-01</t>
  </si>
  <si>
    <t>ZJGA898857-02
ZOT776862-02
ZJGP000269-28
ZJGX957054-01</t>
  </si>
  <si>
    <t>https://www.zeelool.com/campaigns/eyeglasses-looks</t>
  </si>
  <si>
    <t>?adp=</t>
  </si>
  <si>
    <t>26Q2-</t>
  </si>
  <si>
    <t>instagram</t>
  </si>
  <si>
    <t>joelerdmann_</t>
  </si>
  <si>
    <t>Joel Erdmann
Shipping address: 
5115 Lankershim Blvd. L211 North Hollywood CA 91601
Phone: 818 983 7337</t>
  </si>
  <si>
    <t>JGX742856-01
JGP298101-01
JGX283218-03</t>
  </si>
  <si>
    <t>ZJGX742856-01
ZJGP298101-01
ZJGX283218-03</t>
  </si>
  <si>
    <t>tiktok</t>
  </si>
  <si>
    <t>活动</t>
  </si>
  <si>
    <t>官网页面链接</t>
  </si>
  <si>
    <t>Q2</t>
  </si>
  <si>
    <t>6月新品上新</t>
  </si>
  <si>
    <t>https://www.zeelool.com/goods-list/french-summer-edit-eyeglasses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</si>
</sst>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3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3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Fill="1">
      <alignment vertical="center"/>
    </xf>
    <xf numFmtId="3" fontId="3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1" fillId="3" borderId="0" xfId="0" applyFont="1" applyFill="1">
      <alignment vertical="center"/>
    </xf>
    <xf numFmtId="0" fontId="3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eelool.com/campaigns/eyeglasses-look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eelool.com/goods-list/french-summer-edit-eyeglasses" TargetMode="External"/><Relationship Id="rId1" Type="http://schemas.openxmlformats.org/officeDocument/2006/relationships/hyperlink" Target="https://www.zeelool.com/campaigns/eyeglasses-loo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6"/>
  <sheetViews>
    <sheetView tabSelected="1" workbookViewId="0">
      <selection activeCell="E6" sqref="E6"/>
    </sheetView>
  </sheetViews>
  <sheetFormatPr defaultColWidth="10" defaultRowHeight="16.5" customHeight="1" outlineLevelRow="5"/>
  <cols>
    <col min="3" max="3" width="21.8083333333333" customWidth="1"/>
    <col min="4" max="4" width="17" customWidth="1"/>
    <col min="5" max="5" width="33.25" customWidth="1"/>
    <col min="6" max="6" width="14.75" customWidth="1"/>
    <col min="8" max="8" width="20.125" style="3" customWidth="1"/>
    <col min="9" max="9" width="25" customWidth="1"/>
    <col min="10" max="10" width="16.3833333333333" customWidth="1"/>
    <col min="11" max="11" width="17.75" customWidth="1"/>
  </cols>
  <sheetData>
    <row r="1" ht="27.75" customHeight="1" spans="1:12">
      <c r="A1" s="4" t="s">
        <v>0</v>
      </c>
      <c r="B1" s="4" t="s">
        <v>1</v>
      </c>
      <c r="C1" s="5" t="s">
        <v>2</v>
      </c>
      <c r="D1" s="4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1" t="s">
        <v>8</v>
      </c>
      <c r="J1" s="8" t="s">
        <v>9</v>
      </c>
      <c r="K1" s="12" t="s">
        <v>10</v>
      </c>
      <c r="L1" s="11" t="s">
        <v>11</v>
      </c>
    </row>
    <row r="2" ht="68.25" customHeight="1" spans="1:12">
      <c r="A2" s="1" t="s">
        <v>12</v>
      </c>
      <c r="B2" s="1" t="s">
        <v>13</v>
      </c>
      <c r="C2" s="6" t="s">
        <v>14</v>
      </c>
      <c r="D2" s="7" t="s">
        <v>15</v>
      </c>
      <c r="E2" s="6" t="s">
        <v>16</v>
      </c>
      <c r="F2" s="2" t="s">
        <v>17</v>
      </c>
      <c r="G2" s="1" t="s">
        <v>18</v>
      </c>
      <c r="H2" s="10" t="str">
        <f>SUBSTITUTE(SUBSTITUTE(SUBSTITUTE(E2," ",""),CHAR(13),""),CHAR(10),",")</f>
        <v>ZJGA898857-02,ZOT776862-02,ZJGP000269-28,ZJGX957054-01</v>
      </c>
      <c r="I2" s="6" t="str">
        <f>F2&amp;G2&amp;H2</f>
        <v>https://www.zeelool.com/campaigns/eyeglasses-looks?adp=ZJGA898857-02,ZOT776862-02,ZJGP000269-28,ZJGX957054-01</v>
      </c>
      <c r="J2" s="1" t="s">
        <v>19</v>
      </c>
      <c r="K2" s="1" t="str">
        <f>J2&amp;A2</f>
        <v>26Q2-danielamfashion</v>
      </c>
      <c r="L2" s="1" t="s">
        <v>20</v>
      </c>
    </row>
    <row r="3" ht="162.75" customHeight="1" spans="1:12">
      <c r="A3" s="1" t="s">
        <v>21</v>
      </c>
      <c r="B3" s="1" t="s">
        <v>13</v>
      </c>
      <c r="C3" s="6" t="s">
        <v>22</v>
      </c>
      <c r="D3" s="7" t="s">
        <v>23</v>
      </c>
      <c r="E3" s="7" t="s">
        <v>24</v>
      </c>
      <c r="F3" s="2" t="s">
        <v>17</v>
      </c>
      <c r="G3" s="1" t="s">
        <v>18</v>
      </c>
      <c r="H3" s="10" t="str">
        <f>SUBSTITUTE(SUBSTITUTE(SUBSTITUTE(E3," ",""),CHAR(13),""),CHAR(10),",")</f>
        <v>ZJGX742856-01,ZJGP298101-01,ZJGX283218-03</v>
      </c>
      <c r="I3" s="6" t="str">
        <f>F3&amp;G3&amp;H3</f>
        <v>https://www.zeelool.com/campaigns/eyeglasses-looks?adp=ZJGX742856-01,ZJGP298101-01,ZJGX283218-03</v>
      </c>
      <c r="J3" s="1" t="s">
        <v>19</v>
      </c>
      <c r="K3" s="1" t="str">
        <f>J3&amp;A3</f>
        <v>26Q2-joelerdmann_</v>
      </c>
      <c r="L3" s="1" t="s">
        <v>25</v>
      </c>
    </row>
    <row r="6" customHeight="1" spans="3:3">
      <c r="C6" s="6"/>
    </row>
  </sheetData>
  <dataValidations count="1">
    <dataValidation type="list" sqref="F6">
      <formula1>"已发货,未发货"</formula1>
    </dataValidation>
  </dataValidations>
  <hyperlinks>
    <hyperlink ref="F2" r:id="rId1" display="https://www.zeelool.com/campaigns/eyeglasses-looks"/>
    <hyperlink ref="F3" r:id="rId1" display="https://www.zeelool.com/campaigns/eyeglasses-looks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"/>
  <sheetViews>
    <sheetView workbookViewId="0">
      <selection activeCell="A1" sqref="A1"/>
    </sheetView>
  </sheetViews>
  <sheetFormatPr defaultColWidth="10" defaultRowHeight="16.5" customHeight="1" outlineLevelRow="2" outlineLevelCol="1"/>
  <cols>
    <col min="1" max="1" width="15" customWidth="1"/>
    <col min="2" max="2" width="22.125" customWidth="1"/>
  </cols>
  <sheetData>
    <row r="1" customHeight="1" spans="1:2">
      <c r="A1" s="1" t="s">
        <v>26</v>
      </c>
      <c r="B1" s="1" t="s">
        <v>27</v>
      </c>
    </row>
    <row r="2" customHeight="1" spans="1:2">
      <c r="A2" s="1" t="s">
        <v>28</v>
      </c>
      <c r="B2" s="2" t="s">
        <v>17</v>
      </c>
    </row>
    <row r="3" customHeight="1" spans="1:2">
      <c r="A3" s="1" t="s">
        <v>29</v>
      </c>
      <c r="B3" s="2" t="s">
        <v>30</v>
      </c>
    </row>
  </sheetData>
  <hyperlinks>
    <hyperlink ref="B2" r:id="rId1" display="https://www.zeelool.com/campaigns/eyeglasses-looks"/>
    <hyperlink ref="B3" r:id="rId2" display="https://www.zeelool.com/goods-list/french-summer-edit-eyeglasse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白燕茹</cp:lastModifiedBy>
  <dcterms:created xsi:type="dcterms:W3CDTF">2006-09-17T00:00:00Z</dcterms:created>
  <dcterms:modified xsi:type="dcterms:W3CDTF">2026-06-25T13:39:24Z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EB4324AD24EF59278B5C3A6A550B94B1_42</vt:lpwstr>
  </property>
  <property fmtid="{D5CDD505-2E9C-101B-9397-08002B2CF9AE}" pid="3" name="KSOProductBuildVer">
    <vt:lpwstr>2052-7.2.1.8947</vt:lpwstr>
  </property>
</Properties>
</file>